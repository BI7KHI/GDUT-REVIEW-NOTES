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笔记\大学物理实验\实验五 用模拟法测量静电场\"/>
    </mc:Choice>
  </mc:AlternateContent>
  <xr:revisionPtr revIDLastSave="0" documentId="13_ncr:1_{8DF2C6DB-9774-49AB-890A-4B5AD3357C6C}" xr6:coauthVersionLast="47" xr6:coauthVersionMax="47" xr10:uidLastSave="{00000000-0000-0000-0000-000000000000}"/>
  <bookViews>
    <workbookView xWindow="-108" yWindow="-108" windowWidth="23256" windowHeight="13896" xr2:uid="{7D63F694-6260-4984-98C1-960E1E77D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I5" i="1" s="1"/>
  <c r="J5" i="1" s="1"/>
  <c r="G6" i="1"/>
  <c r="H6" i="1" s="1"/>
  <c r="I6" i="1" s="1"/>
  <c r="J6" i="1" s="1"/>
  <c r="G7" i="1"/>
  <c r="H7" i="1" s="1"/>
  <c r="I7" i="1" s="1"/>
  <c r="J7" i="1" s="1"/>
  <c r="G8" i="1"/>
  <c r="H8" i="1" s="1"/>
  <c r="I8" i="1" s="1"/>
  <c r="J8" i="1" s="1"/>
  <c r="G9" i="1"/>
  <c r="H9" i="1" s="1"/>
  <c r="I9" i="1" s="1"/>
  <c r="J9" i="1" s="1"/>
  <c r="G10" i="1"/>
  <c r="H10" i="1" s="1"/>
  <c r="I10" i="1" s="1"/>
  <c r="J10" i="1" s="1"/>
  <c r="G4" i="1"/>
  <c r="H4" i="1" s="1"/>
  <c r="I4" i="1" s="1"/>
  <c r="J4" i="1" s="1"/>
</calcChain>
</file>

<file path=xl/sharedStrings.xml><?xml version="1.0" encoding="utf-8"?>
<sst xmlns="http://schemas.openxmlformats.org/spreadsheetml/2006/main" count="12" uniqueCount="12">
  <si>
    <t>Vr/VB</t>
    <phoneticPr fontId="1" type="noConversion"/>
  </si>
  <si>
    <t>d1/cm</t>
    <phoneticPr fontId="1" type="noConversion"/>
  </si>
  <si>
    <t>d2/cm</t>
    <phoneticPr fontId="1" type="noConversion"/>
  </si>
  <si>
    <t>d3/cm</t>
  </si>
  <si>
    <t>d4/cm</t>
  </si>
  <si>
    <t>d5/cm</t>
  </si>
  <si>
    <t>Avg(d)/cm</t>
    <phoneticPr fontId="1" type="noConversion"/>
  </si>
  <si>
    <t>Avg(r)/cm</t>
    <phoneticPr fontId="1" type="noConversion"/>
  </si>
  <si>
    <t>ln(Avg(r))</t>
    <phoneticPr fontId="1" type="noConversion"/>
  </si>
  <si>
    <t>ln(avg(r))/ln7</t>
    <phoneticPr fontId="1" type="noConversion"/>
  </si>
  <si>
    <t>表5-1 等势图的测绘</t>
    <phoneticPr fontId="1" type="noConversion"/>
  </si>
  <si>
    <t>实验5 用模拟法测量静电场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</si>
</sst>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Vr/Vb-lnr/ln7</a:t>
            </a:r>
            <a:r>
              <a:rPr lang="zh-CN" altLang="en-US"/>
              <a:t>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Sheet1!$A$4:$A$10</c:f>
              <c:strCach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350962906745097E-2"/>
                  <c:y val="-4.3369772661913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Sheet1!$J$4:$J$10</c:f>
              <c:numCache>
                <c:formatCode>0.000_ </c:formatCode>
                <c:ptCount val="7"/>
                <c:pt idx="0">
                  <c:v>0.21178246643448623</c:v>
                </c:pt>
                <c:pt idx="1">
                  <c:v>0.30999502897130504</c:v>
                </c:pt>
                <c:pt idx="2">
                  <c:v>0.4121472853519868</c:v>
                </c:pt>
                <c:pt idx="3">
                  <c:v>0.52801731947057318</c:v>
                </c:pt>
                <c:pt idx="4">
                  <c:v>0.61604038493504643</c:v>
                </c:pt>
                <c:pt idx="5">
                  <c:v>0.71803639126736885</c:v>
                </c:pt>
                <c:pt idx="6">
                  <c:v>0.81365486252952357</c:v>
                </c:pt>
              </c:numCache>
            </c:numRef>
          </c:xVal>
          <c:yVal>
            <c:numRef>
              <c:f>Sheet1!$A$4:$A$10</c:f>
              <c:numCache>
                <c:formatCode>General</c:formatCod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2-48F3-AFCE-85126511C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662976"/>
        <c:axId val="1867646656"/>
      </c:scatterChart>
      <c:valAx>
        <c:axId val="186766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</a:t>
                </a:r>
                <a:r>
                  <a:rPr lang="en-US" altLang="zh-CN" baseline="0"/>
                  <a:t> r/ln 7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7646656"/>
        <c:crosses val="autoZero"/>
        <c:crossBetween val="midCat"/>
      </c:valAx>
      <c:valAx>
        <c:axId val="18676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Vr/Vb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76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422275</xdr:colOff>
      <xdr:row>11</xdr:row>
      <xdr:rowOff>76200</xdr:rowOff>
    </xdr:from>
    <xdr:to>
      <xdr:col>8</xdr:col>
      <xdr:colOff>371475</xdr:colOff>
      <xdr:row>26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D5AC8C1-8C0D-30B2-F48E-1F28818D2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8F33-5CD3-4936-9C0C-50001705C291}">
  <dimension ref="A1:J10"/>
  <sheetViews>
    <sheetView tabSelected="1" topLeftCell="A8" zoomScale="145" zoomScaleNormal="145" workbookViewId="0">
      <selection activeCell="I22" sqref="I22"/>
    </sheetView>
  </sheetViews>
  <sheetFormatPr defaultRowHeight="13.8" x14ac:dyDescent="0.25"/>
  <cols>
    <col min="10" max="10" width="10.77734375" customWidth="1"/>
  </cols>
  <sheetData>
    <row r="1" spans="1:10" ht="38.549999999999997" customHeight="1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1">
        <v>0.2</v>
      </c>
      <c r="B4" s="1">
        <v>3.1</v>
      </c>
      <c r="C4" s="1">
        <v>3.05</v>
      </c>
      <c r="D4" s="1">
        <v>3.01</v>
      </c>
      <c r="E4" s="1">
        <v>2.95</v>
      </c>
      <c r="F4" s="1">
        <v>2.99</v>
      </c>
      <c r="G4" s="1">
        <f>AVERAGE(B4:F4)</f>
        <v>3.02</v>
      </c>
      <c r="H4" s="1">
        <f>G4/2</f>
        <v>1.51</v>
      </c>
      <c r="I4" s="1">
        <f>LN(H4)</f>
        <v>0.41210965082683298</v>
      </c>
      <c r="J4" s="2">
        <f>I4/LN(7)</f>
        <v>0.21178246643448623</v>
      </c>
    </row>
    <row r="5" spans="1:10" x14ac:dyDescent="0.25">
      <c r="A5" s="1">
        <v>0.3</v>
      </c>
      <c r="B5" s="1">
        <v>3.58</v>
      </c>
      <c r="C5" s="1">
        <v>3.65</v>
      </c>
      <c r="D5" s="1">
        <v>3.5</v>
      </c>
      <c r="E5" s="1">
        <v>3.8</v>
      </c>
      <c r="F5" s="1">
        <v>3.75</v>
      </c>
      <c r="G5" s="1">
        <f t="shared" ref="G5:G10" si="0">AVERAGE(B5:F5)</f>
        <v>3.6560000000000001</v>
      </c>
      <c r="H5" s="1">
        <f t="shared" ref="H5:H10" si="1">G5/2</f>
        <v>1.8280000000000001</v>
      </c>
      <c r="I5" s="1">
        <f t="shared" ref="I5:I10" si="2">LN(H5)</f>
        <v>0.60322247303195831</v>
      </c>
      <c r="J5" s="2">
        <f t="shared" ref="J5:J10" si="3">I5/LN(7)</f>
        <v>0.30999502897130504</v>
      </c>
    </row>
    <row r="6" spans="1:10" x14ac:dyDescent="0.25">
      <c r="A6" s="1">
        <v>0.4</v>
      </c>
      <c r="B6" s="1">
        <v>4.5</v>
      </c>
      <c r="C6" s="1">
        <v>4.5</v>
      </c>
      <c r="D6" s="1">
        <v>4.3</v>
      </c>
      <c r="E6" s="1">
        <v>4.55</v>
      </c>
      <c r="F6" s="1">
        <v>4.45</v>
      </c>
      <c r="G6" s="1">
        <f t="shared" si="0"/>
        <v>4.46</v>
      </c>
      <c r="H6" s="1">
        <f t="shared" si="1"/>
        <v>2.23</v>
      </c>
      <c r="I6" s="1">
        <f t="shared" si="2"/>
        <v>0.80200158547202738</v>
      </c>
      <c r="J6" s="2">
        <f t="shared" si="3"/>
        <v>0.4121472853519868</v>
      </c>
    </row>
    <row r="7" spans="1:10" x14ac:dyDescent="0.25">
      <c r="A7" s="1">
        <v>0.5</v>
      </c>
      <c r="B7" s="1">
        <v>5.6</v>
      </c>
      <c r="C7" s="1">
        <v>5.65</v>
      </c>
      <c r="D7" s="1">
        <v>5.4</v>
      </c>
      <c r="E7" s="1">
        <v>5.69</v>
      </c>
      <c r="F7" s="1">
        <v>5.6</v>
      </c>
      <c r="G7" s="1">
        <f t="shared" si="0"/>
        <v>5.5879999999999992</v>
      </c>
      <c r="H7" s="1">
        <f t="shared" si="1"/>
        <v>2.7939999999999996</v>
      </c>
      <c r="I7" s="1">
        <f t="shared" si="2"/>
        <v>1.02747426083477</v>
      </c>
      <c r="J7" s="2">
        <f t="shared" si="3"/>
        <v>0.52801731947057318</v>
      </c>
    </row>
    <row r="8" spans="1:10" x14ac:dyDescent="0.25">
      <c r="A8" s="1">
        <v>0.6</v>
      </c>
      <c r="B8" s="1">
        <v>6.61</v>
      </c>
      <c r="C8" s="1">
        <v>6.71</v>
      </c>
      <c r="D8" s="1">
        <v>6.59</v>
      </c>
      <c r="E8" s="1">
        <v>6.65</v>
      </c>
      <c r="F8" s="1">
        <v>6.6</v>
      </c>
      <c r="G8" s="1">
        <f t="shared" si="0"/>
        <v>6.6320000000000006</v>
      </c>
      <c r="H8" s="1">
        <f t="shared" si="1"/>
        <v>3.3160000000000003</v>
      </c>
      <c r="I8" s="1">
        <f t="shared" si="2"/>
        <v>1.1987592372730487</v>
      </c>
      <c r="J8" s="2">
        <f t="shared" si="3"/>
        <v>0.61604038493504643</v>
      </c>
    </row>
    <row r="9" spans="1:10" x14ac:dyDescent="0.25">
      <c r="A9" s="1">
        <v>0.7</v>
      </c>
      <c r="B9" s="1">
        <v>8.09</v>
      </c>
      <c r="C9" s="1">
        <v>8.1</v>
      </c>
      <c r="D9" s="1">
        <v>8</v>
      </c>
      <c r="E9" s="1">
        <v>8.15</v>
      </c>
      <c r="F9" s="1">
        <v>8.1</v>
      </c>
      <c r="G9" s="1">
        <f t="shared" si="0"/>
        <v>8.0879999999999992</v>
      </c>
      <c r="H9" s="1">
        <f t="shared" si="1"/>
        <v>4.0439999999999996</v>
      </c>
      <c r="I9" s="1">
        <f t="shared" si="2"/>
        <v>1.3972343011582249</v>
      </c>
      <c r="J9" s="2">
        <f t="shared" si="3"/>
        <v>0.71803639126736885</v>
      </c>
    </row>
    <row r="10" spans="1:10" x14ac:dyDescent="0.25">
      <c r="A10" s="1">
        <v>0.8</v>
      </c>
      <c r="B10" s="1">
        <v>9.7899999999999991</v>
      </c>
      <c r="C10" s="1">
        <v>9.75</v>
      </c>
      <c r="D10" s="1">
        <v>9.65</v>
      </c>
      <c r="E10" s="1">
        <v>9.6999999999999993</v>
      </c>
      <c r="F10" s="1">
        <v>9.82</v>
      </c>
      <c r="G10" s="1">
        <f t="shared" si="0"/>
        <v>9.7420000000000009</v>
      </c>
      <c r="H10" s="1">
        <f t="shared" si="1"/>
        <v>4.8710000000000004</v>
      </c>
      <c r="I10" s="1">
        <f t="shared" si="2"/>
        <v>1.5832992548244056</v>
      </c>
      <c r="J10" s="2">
        <f t="shared" si="3"/>
        <v>0.81365486252952357</v>
      </c>
    </row>
  </sheetData>
  <mergeCells count="2">
    <mergeCell ref="A2:J2"/>
    <mergeCell ref="A1:J1"/>
  </mergeCells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Kyunana .</cp:lastModifiedBy>
  <cp:lastPrinted>2025-10-24T05:20:18Z</cp:lastPrinted>
  <dcterms:created xsi:type="dcterms:W3CDTF">2025-10-24T04:59:42Z</dcterms:created>
  <dcterms:modified xsi:type="dcterms:W3CDTF">2025-12-13T08:59:39Z</dcterms:modified>
</cp:coreProperties>
</file>